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hachez/Library/CloudStorage/OneDrive-VrijeUniversiteitBrussel/Publications/Articles/ongoing - DHCN-RBC/Code/DHNRBC/Optim/"/>
    </mc:Choice>
  </mc:AlternateContent>
  <xr:revisionPtr revIDLastSave="0" documentId="8_{2B2E5156-2358-5F4A-A062-F19F5788AF9A}" xr6:coauthVersionLast="47" xr6:coauthVersionMax="47" xr10:uidLastSave="{00000000-0000-0000-0000-000000000000}"/>
  <bookViews>
    <workbookView xWindow="1880" yWindow="7440" windowWidth="30240" windowHeight="17600" xr2:uid="{E4991306-0B28-E847-84A0-269833AD7A05}"/>
  </bookViews>
  <sheets>
    <sheet name="building_access" sheetId="1" r:id="rId1"/>
    <sheet name="technolog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G4" i="2"/>
  <c r="D3" i="2"/>
  <c r="H3" i="2"/>
  <c r="G3" i="2"/>
  <c r="C3" i="2"/>
  <c r="H2" i="2"/>
  <c r="G2" i="2"/>
</calcChain>
</file>

<file path=xl/sharedStrings.xml><?xml version="1.0" encoding="utf-8"?>
<sst xmlns="http://schemas.openxmlformats.org/spreadsheetml/2006/main" count="90" uniqueCount="48">
  <si>
    <t>BUILDING_ID</t>
  </si>
  <si>
    <t>tech</t>
  </si>
  <si>
    <t>primary</t>
  </si>
  <si>
    <t>power (MW_th)</t>
  </si>
  <si>
    <t>note</t>
  </si>
  <si>
    <t>floor surface</t>
  </si>
  <si>
    <t>power floor</t>
  </si>
  <si>
    <t>B1622268</t>
  </si>
  <si>
    <t>ASHP</t>
  </si>
  <si>
    <t>electricity</t>
  </si>
  <si>
    <t>Midi</t>
  </si>
  <si>
    <t>B1823663</t>
  </si>
  <si>
    <t>Monnaie</t>
  </si>
  <si>
    <t>B1620011</t>
  </si>
  <si>
    <t>B1777959</t>
  </si>
  <si>
    <t>Trone</t>
  </si>
  <si>
    <t>B1788129</t>
  </si>
  <si>
    <t>Cite administrative - nord</t>
  </si>
  <si>
    <t>B1824809</t>
  </si>
  <si>
    <t>Houblon</t>
  </si>
  <si>
    <t>B1614645</t>
  </si>
  <si>
    <t>CHP pellet</t>
  </si>
  <si>
    <t>pellet</t>
  </si>
  <si>
    <t>Bruxelles Chappelle</t>
  </si>
  <si>
    <t>B1604188</t>
  </si>
  <si>
    <t>Bruxelles Congres</t>
  </si>
  <si>
    <t>B1828890</t>
  </si>
  <si>
    <t>Cite administrative - via Bruxelles Congres</t>
  </si>
  <si>
    <t>B1823661</t>
  </si>
  <si>
    <t>Canal</t>
  </si>
  <si>
    <t>B1818096</t>
  </si>
  <si>
    <t>Petit Chateau</t>
  </si>
  <si>
    <t>B1641199</t>
  </si>
  <si>
    <t>GSHP</t>
  </si>
  <si>
    <t>Parc Royal - 115635 m2 * 0.60 - 23 MW</t>
  </si>
  <si>
    <t>Nominal power MW</t>
  </si>
  <si>
    <t>capex (MEUR/MW_th)</t>
  </si>
  <si>
    <t>efficiency_th (MW_th/MW_prim)</t>
  </si>
  <si>
    <t>efficiency_e (MW_e/MW_prim)</t>
  </si>
  <si>
    <t>Fixed o&amp;m (€/MW_th)</t>
  </si>
  <si>
    <t>Variable o&amp;m (€/MWh_th)</t>
  </si>
  <si>
    <t>source</t>
  </si>
  <si>
    <t>Danish Catalogue</t>
  </si>
  <si>
    <t>German Catalogue</t>
  </si>
  <si>
    <t>WSHP</t>
  </si>
  <si>
    <t>RIOTHERMAL</t>
  </si>
  <si>
    <t>Vision Zonnee</t>
  </si>
  <si>
    <t>FATAL_HEAT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</si>
</sst>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3" x14ac:knownFonts="1">
    <font>
      <sz val="12"/>
      <color theme="1"/>
      <name val="Calibri"/>
      <family val="2"/>
      <scheme val="minor"/>
    </font>
    <font>
      <sz val="12"/>
      <color rgb="FF6A9955"/>
      <name val="Menlo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2ABB-39FF-024F-92E0-A48853967801}">
  <dimension ref="A1:H13"/>
  <sheetViews>
    <sheetView tabSelected="1" zoomScale="125" workbookViewId="0">
      <selection activeCell="E19" sqref="E19"/>
    </sheetView>
  </sheetViews>
  <sheetFormatPr baseColWidth="10" defaultColWidth="11" defaultRowHeight="16" x14ac:dyDescent="0.2"/>
  <cols>
    <col min="1" max="1" width="12" bestFit="1" customWidth="1"/>
    <col min="2" max="2" width="11" bestFit="1" customWidth="1"/>
    <col min="3" max="3" width="9.1640625" bestFit="1" customWidth="1"/>
    <col min="4" max="4" width="14.33203125" bestFit="1" customWidth="1"/>
    <col min="5" max="5" width="52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">
      <c r="A2" t="s">
        <v>7</v>
      </c>
      <c r="B2" t="s">
        <v>8</v>
      </c>
      <c r="C2" t="s">
        <v>9</v>
      </c>
      <c r="D2">
        <v>8</v>
      </c>
      <c r="E2" t="s">
        <v>10</v>
      </c>
      <c r="F2">
        <v>2332</v>
      </c>
      <c r="G2" s="2">
        <v>21.2</v>
      </c>
    </row>
    <row r="3" spans="1:8" x14ac:dyDescent="0.2">
      <c r="A3" t="s">
        <v>11</v>
      </c>
      <c r="B3" t="s">
        <v>8</v>
      </c>
      <c r="C3" t="s">
        <v>9</v>
      </c>
      <c r="D3">
        <v>40</v>
      </c>
      <c r="E3" t="s">
        <v>12</v>
      </c>
      <c r="F3">
        <v>6512</v>
      </c>
      <c r="G3" s="2">
        <v>59.2</v>
      </c>
    </row>
    <row r="4" spans="1:8" x14ac:dyDescent="0.2">
      <c r="A4" t="s">
        <v>13</v>
      </c>
      <c r="B4" t="s">
        <v>8</v>
      </c>
      <c r="C4" t="s">
        <v>9</v>
      </c>
      <c r="D4">
        <v>5</v>
      </c>
      <c r="F4">
        <v>52</v>
      </c>
      <c r="G4" s="2">
        <v>0.47272727272727277</v>
      </c>
    </row>
    <row r="5" spans="1:8" x14ac:dyDescent="0.2">
      <c r="A5" t="s">
        <v>14</v>
      </c>
      <c r="B5" t="s">
        <v>8</v>
      </c>
      <c r="C5" t="s">
        <v>9</v>
      </c>
      <c r="D5">
        <v>15</v>
      </c>
      <c r="E5" t="s">
        <v>15</v>
      </c>
      <c r="F5">
        <v>6660</v>
      </c>
      <c r="G5" s="2">
        <v>60.545454545454547</v>
      </c>
    </row>
    <row r="6" spans="1:8" x14ac:dyDescent="0.2">
      <c r="A6" t="s">
        <v>16</v>
      </c>
      <c r="B6" t="s">
        <v>8</v>
      </c>
      <c r="C6" t="s">
        <v>9</v>
      </c>
      <c r="D6">
        <v>40</v>
      </c>
      <c r="E6" t="s">
        <v>17</v>
      </c>
      <c r="F6">
        <v>1680</v>
      </c>
      <c r="G6" s="2">
        <v>15.272727272727272</v>
      </c>
    </row>
    <row r="7" spans="1:8" x14ac:dyDescent="0.2">
      <c r="A7" t="s">
        <v>18</v>
      </c>
      <c r="B7" t="s">
        <v>8</v>
      </c>
      <c r="C7" t="s">
        <v>9</v>
      </c>
      <c r="D7">
        <v>5</v>
      </c>
      <c r="E7" t="s">
        <v>19</v>
      </c>
      <c r="F7">
        <v>391</v>
      </c>
      <c r="G7" s="2">
        <v>3.5545454545454547</v>
      </c>
    </row>
    <row r="8" spans="1:8" x14ac:dyDescent="0.2">
      <c r="A8" s="1" t="s">
        <v>20</v>
      </c>
      <c r="B8" t="s">
        <v>21</v>
      </c>
      <c r="C8" t="s">
        <v>22</v>
      </c>
      <c r="D8">
        <v>20</v>
      </c>
      <c r="E8" s="1" t="s">
        <v>23</v>
      </c>
      <c r="F8">
        <v>2741</v>
      </c>
      <c r="G8" s="2">
        <v>31.69863945578232</v>
      </c>
      <c r="H8" s="3"/>
    </row>
    <row r="9" spans="1:8" x14ac:dyDescent="0.2">
      <c r="A9" s="1" t="s">
        <v>24</v>
      </c>
      <c r="B9" t="s">
        <v>21</v>
      </c>
      <c r="C9" t="s">
        <v>22</v>
      </c>
      <c r="D9">
        <v>2</v>
      </c>
      <c r="E9" s="1" t="s">
        <v>25</v>
      </c>
      <c r="F9">
        <v>344</v>
      </c>
      <c r="G9" s="2">
        <v>3.9782312925170067</v>
      </c>
      <c r="H9" s="3"/>
    </row>
    <row r="10" spans="1:8" x14ac:dyDescent="0.2">
      <c r="A10" s="1" t="s">
        <v>26</v>
      </c>
      <c r="B10" t="s">
        <v>21</v>
      </c>
      <c r="C10" t="s">
        <v>22</v>
      </c>
      <c r="D10">
        <v>100</v>
      </c>
      <c r="E10" s="1" t="s">
        <v>27</v>
      </c>
      <c r="F10">
        <v>33520</v>
      </c>
      <c r="G10" s="2">
        <v>387.64625850340138</v>
      </c>
      <c r="H10" s="3"/>
    </row>
    <row r="11" spans="1:8" x14ac:dyDescent="0.2">
      <c r="A11" s="1" t="s">
        <v>28</v>
      </c>
      <c r="B11" t="s">
        <v>21</v>
      </c>
      <c r="C11" t="s">
        <v>22</v>
      </c>
      <c r="D11">
        <v>10</v>
      </c>
      <c r="E11" s="1" t="s">
        <v>29</v>
      </c>
      <c r="F11">
        <v>3794</v>
      </c>
      <c r="G11" s="2">
        <v>43.87619047619048</v>
      </c>
      <c r="H11" s="3"/>
    </row>
    <row r="12" spans="1:8" x14ac:dyDescent="0.2">
      <c r="A12" s="1" t="s">
        <v>30</v>
      </c>
      <c r="B12" t="s">
        <v>21</v>
      </c>
      <c r="C12" t="s">
        <v>22</v>
      </c>
      <c r="D12">
        <v>40</v>
      </c>
      <c r="E12" s="1" t="s">
        <v>31</v>
      </c>
      <c r="F12">
        <v>6924</v>
      </c>
      <c r="G12" s="2">
        <v>80.073469387755097</v>
      </c>
      <c r="H12" s="3"/>
    </row>
    <row r="13" spans="1:8" x14ac:dyDescent="0.2">
      <c r="A13" s="1" t="s">
        <v>32</v>
      </c>
      <c r="B13" t="s">
        <v>33</v>
      </c>
      <c r="C13" t="s">
        <v>9</v>
      </c>
      <c r="D13">
        <v>23</v>
      </c>
      <c r="E13" s="1" t="s">
        <v>34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7C69-2820-DF4A-A402-9FC87B6EA813}">
  <dimension ref="A1:J11"/>
  <sheetViews>
    <sheetView zoomScale="133" workbookViewId="0">
      <selection activeCell="C4" sqref="C4"/>
    </sheetView>
  </sheetViews>
  <sheetFormatPr baseColWidth="10" defaultColWidth="11" defaultRowHeight="16" x14ac:dyDescent="0.2"/>
  <cols>
    <col min="3" max="3" width="18.83203125" customWidth="1"/>
    <col min="4" max="4" width="22.33203125" customWidth="1"/>
    <col min="5" max="5" width="29.33203125" bestFit="1" customWidth="1"/>
    <col min="6" max="6" width="28" bestFit="1" customWidth="1"/>
    <col min="7" max="8" width="22.33203125" customWidth="1"/>
    <col min="9" max="9" width="28.5" bestFit="1" customWidth="1"/>
  </cols>
  <sheetData>
    <row r="1" spans="1:10" x14ac:dyDescent="0.2">
      <c r="A1" t="s">
        <v>1</v>
      </c>
      <c r="B1" t="s">
        <v>2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</v>
      </c>
      <c r="J1" t="s">
        <v>41</v>
      </c>
    </row>
    <row r="2" spans="1:10" x14ac:dyDescent="0.2">
      <c r="A2" t="s">
        <v>21</v>
      </c>
      <c r="B2" t="s">
        <v>22</v>
      </c>
      <c r="C2" s="4">
        <v>17</v>
      </c>
      <c r="D2" s="5">
        <v>1.1599999999999999</v>
      </c>
      <c r="E2">
        <v>0.84</v>
      </c>
      <c r="F2">
        <v>0.15</v>
      </c>
      <c r="G2" s="2">
        <f>45193/E2</f>
        <v>53801.190476190481</v>
      </c>
      <c r="H2" s="2">
        <f>0.64/E2</f>
        <v>0.76190476190476197</v>
      </c>
      <c r="I2" s="1" t="s">
        <v>42</v>
      </c>
    </row>
    <row r="3" spans="1:10" x14ac:dyDescent="0.2">
      <c r="A3" t="s">
        <v>21</v>
      </c>
      <c r="B3" t="s">
        <v>22</v>
      </c>
      <c r="C3" s="4">
        <f>24.68/F3*E3</f>
        <v>58.72137931034483</v>
      </c>
      <c r="D3" s="6">
        <f>3.28*F3/E3</f>
        <v>1.3785507246376809</v>
      </c>
      <c r="E3">
        <v>0.69</v>
      </c>
      <c r="F3">
        <v>0.28999999999999998</v>
      </c>
      <c r="G3" s="2">
        <f>42000/E3</f>
        <v>60869.565217391311</v>
      </c>
      <c r="H3" s="2">
        <f>0.61/E3</f>
        <v>0.88405797101449279</v>
      </c>
      <c r="I3" s="1"/>
    </row>
    <row r="4" spans="1:10" x14ac:dyDescent="0.2">
      <c r="A4" t="s">
        <v>21</v>
      </c>
      <c r="B4" t="s">
        <v>22</v>
      </c>
      <c r="C4" s="4">
        <v>554.4</v>
      </c>
      <c r="D4" s="6">
        <v>1.17</v>
      </c>
      <c r="E4">
        <v>0.66</v>
      </c>
      <c r="F4">
        <v>0.3</v>
      </c>
      <c r="G4" s="2">
        <f>22765/E4</f>
        <v>34492.42424242424</v>
      </c>
      <c r="H4" s="2">
        <f>0.57/E4</f>
        <v>0.86363636363636354</v>
      </c>
      <c r="I4" s="1"/>
    </row>
    <row r="5" spans="1:10" x14ac:dyDescent="0.2">
      <c r="A5" t="s">
        <v>8</v>
      </c>
      <c r="B5" t="s">
        <v>9</v>
      </c>
      <c r="C5" s="4">
        <v>1</v>
      </c>
      <c r="D5">
        <v>1.1499999999999999</v>
      </c>
      <c r="E5">
        <v>2.75</v>
      </c>
      <c r="F5">
        <v>0</v>
      </c>
      <c r="G5" s="2">
        <v>2127</v>
      </c>
      <c r="H5" s="2">
        <v>0.86</v>
      </c>
      <c r="I5" s="1" t="s">
        <v>42</v>
      </c>
    </row>
    <row r="6" spans="1:10" x14ac:dyDescent="0.2">
      <c r="A6" t="s">
        <v>8</v>
      </c>
      <c r="B6" t="s">
        <v>9</v>
      </c>
      <c r="C6" s="4">
        <v>3</v>
      </c>
      <c r="D6">
        <v>1.1000000000000001</v>
      </c>
      <c r="E6">
        <v>2.8</v>
      </c>
      <c r="F6">
        <v>0</v>
      </c>
      <c r="G6" s="2">
        <v>2127</v>
      </c>
      <c r="H6" s="2">
        <v>0.86</v>
      </c>
      <c r="I6" s="1"/>
    </row>
    <row r="7" spans="1:10" x14ac:dyDescent="0.2">
      <c r="A7" t="s">
        <v>8</v>
      </c>
      <c r="B7" t="s">
        <v>9</v>
      </c>
      <c r="C7" s="4">
        <v>10</v>
      </c>
      <c r="D7">
        <v>1.02</v>
      </c>
      <c r="E7">
        <v>2.8</v>
      </c>
      <c r="F7">
        <v>0</v>
      </c>
      <c r="G7" s="2">
        <v>2127</v>
      </c>
      <c r="H7" s="2">
        <v>0.86</v>
      </c>
      <c r="I7" s="1"/>
    </row>
    <row r="8" spans="1:10" x14ac:dyDescent="0.2">
      <c r="A8" t="s">
        <v>33</v>
      </c>
      <c r="B8" t="s">
        <v>9</v>
      </c>
      <c r="C8" s="4">
        <v>0.1</v>
      </c>
      <c r="D8">
        <v>1.93</v>
      </c>
      <c r="E8">
        <v>3.15</v>
      </c>
      <c r="F8">
        <v>0</v>
      </c>
      <c r="G8" s="2">
        <v>11000</v>
      </c>
      <c r="H8" s="2">
        <v>0</v>
      </c>
      <c r="I8" s="1" t="s">
        <v>43</v>
      </c>
    </row>
    <row r="9" spans="1:10" x14ac:dyDescent="0.2">
      <c r="A9" t="s">
        <v>44</v>
      </c>
      <c r="B9" t="s">
        <v>9</v>
      </c>
      <c r="C9" s="4">
        <v>20</v>
      </c>
      <c r="D9">
        <v>1.1299999999999999</v>
      </c>
      <c r="E9">
        <v>3.2</v>
      </c>
      <c r="F9">
        <v>0</v>
      </c>
      <c r="G9" s="2">
        <v>4253</v>
      </c>
      <c r="H9" s="2">
        <v>1.27</v>
      </c>
      <c r="I9" s="1" t="s">
        <v>42</v>
      </c>
    </row>
    <row r="10" spans="1:10" x14ac:dyDescent="0.2">
      <c r="A10" t="s">
        <v>45</v>
      </c>
      <c r="B10" t="s">
        <v>9</v>
      </c>
      <c r="C10" s="4">
        <v>1</v>
      </c>
      <c r="D10">
        <v>2.1</v>
      </c>
      <c r="E10">
        <v>4</v>
      </c>
      <c r="F10">
        <v>0</v>
      </c>
      <c r="G10" s="2">
        <v>4000</v>
      </c>
      <c r="H10" s="2">
        <v>0</v>
      </c>
      <c r="I10" s="1" t="s">
        <v>46</v>
      </c>
    </row>
    <row r="11" spans="1:10" x14ac:dyDescent="0.2">
      <c r="A11" t="s">
        <v>47</v>
      </c>
      <c r="B11" t="s">
        <v>9</v>
      </c>
      <c r="C11">
        <v>1</v>
      </c>
      <c r="D11">
        <v>1.1299999999999999</v>
      </c>
      <c r="E11">
        <v>3.1</v>
      </c>
      <c r="F11">
        <v>0</v>
      </c>
      <c r="G11" s="2">
        <v>2127</v>
      </c>
      <c r="H11" s="2">
        <v>3.07</v>
      </c>
      <c r="I11" s="1" t="s">
        <v>42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building_access</vt:lpstr>
      <vt:lpstr>technologies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Jonathan Hachez</cp:lastModifiedBy>
  <cp:revision/>
  <dcterms:created xsi:type="dcterms:W3CDTF">2026-06-29T09:05:24Z</dcterms:created>
  <dcterms:modified xsi:type="dcterms:W3CDTF">2026-07-30T09:32:57Z</dcterms:modified>
  <cp:category/>
  <cp:contentStatus/>
</cp:coreProperties>
</file>